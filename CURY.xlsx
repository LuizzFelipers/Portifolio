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f4eac851b47afe/Desktop/portifólio/lucroXcaixa/"/>
    </mc:Choice>
  </mc:AlternateContent>
  <xr:revisionPtr revIDLastSave="296" documentId="11_F25DC773A252ABDACC1048FA619F61F45BDE58EF" xr6:coauthVersionLast="47" xr6:coauthVersionMax="47" xr10:uidLastSave="{8D019849-753D-4654-BFB2-9F8FED61C8E3}"/>
  <bookViews>
    <workbookView xWindow="28680" yWindow="-120" windowWidth="29040" windowHeight="15720" xr2:uid="{00000000-000D-0000-FFFF-FFFF00000000}"/>
  </bookViews>
  <sheets>
    <sheet name="D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9" i="1"/>
  <c r="K8" i="1"/>
  <c r="I8" i="1"/>
  <c r="I7" i="1"/>
  <c r="I6" i="1"/>
  <c r="J9" i="1"/>
  <c r="J7" i="1"/>
  <c r="I9" i="1"/>
  <c r="H9" i="1"/>
  <c r="H8" i="1"/>
  <c r="H7" i="1"/>
  <c r="K5" i="1"/>
  <c r="K6" i="1"/>
  <c r="K7" i="1"/>
  <c r="J6" i="1"/>
  <c r="J4" i="1"/>
  <c r="I5" i="1"/>
  <c r="I4" i="1"/>
  <c r="H5" i="1"/>
  <c r="H6" i="1"/>
  <c r="H4" i="1"/>
  <c r="K4" i="1"/>
  <c r="K3" i="1"/>
  <c r="J3" i="1"/>
  <c r="I3" i="1"/>
  <c r="I2" i="1"/>
  <c r="H3" i="1"/>
  <c r="H2" i="1"/>
</calcChain>
</file>

<file path=xl/sharedStrings.xml><?xml version="1.0" encoding="utf-8"?>
<sst xmlns="http://schemas.openxmlformats.org/spreadsheetml/2006/main" count="19" uniqueCount="14">
  <si>
    <t>Ano</t>
  </si>
  <si>
    <t>Empresa</t>
  </si>
  <si>
    <t>LL</t>
  </si>
  <si>
    <t>FCO</t>
  </si>
  <si>
    <t>ativo_total</t>
  </si>
  <si>
    <t>PL</t>
  </si>
  <si>
    <t>ativo_medio</t>
  </si>
  <si>
    <t>FCO_LL</t>
  </si>
  <si>
    <t>GCPL</t>
  </si>
  <si>
    <t>CURY</t>
  </si>
  <si>
    <t>Cyrela</t>
  </si>
  <si>
    <t>Even</t>
  </si>
  <si>
    <t>accruals</t>
  </si>
  <si>
    <t>accruals_ratio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</si>
</sst>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J1" sqref="J1"/>
    </sheetView>
  </sheetViews>
  <sheetFormatPr defaultRowHeight="14.4" x14ac:dyDescent="0.3"/>
  <cols>
    <col min="1" max="1" width="33.88671875" bestFit="1" customWidth="1"/>
    <col min="2" max="2" width="11.21875" customWidth="1"/>
    <col min="3" max="3" width="12.6640625" customWidth="1"/>
    <col min="5" max="5" width="12.21875" bestFit="1" customWidth="1"/>
    <col min="6" max="6" width="15" customWidth="1"/>
    <col min="7" max="7" width="13.77734375" customWidth="1"/>
    <col min="10" max="10" width="15.5546875" bestFit="1" customWidth="1"/>
  </cols>
  <sheetData>
    <row r="1" spans="1:11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13</v>
      </c>
      <c r="K1" t="s">
        <v>8</v>
      </c>
    </row>
    <row r="2" spans="1:11" x14ac:dyDescent="0.3">
      <c r="A2" t="s">
        <v>9</v>
      </c>
      <c r="B2">
        <v>2023</v>
      </c>
      <c r="C2">
        <v>495611</v>
      </c>
      <c r="D2">
        <v>455902</v>
      </c>
      <c r="E2">
        <v>3092023</v>
      </c>
      <c r="F2">
        <v>996980</v>
      </c>
      <c r="H2" s="1">
        <f>D2/C2</f>
        <v>0.9198786951863458</v>
      </c>
      <c r="I2">
        <f>C2-D2</f>
        <v>39709</v>
      </c>
      <c r="K2" s="2">
        <f>D2/F2</f>
        <v>0.45728299464382433</v>
      </c>
    </row>
    <row r="3" spans="1:11" x14ac:dyDescent="0.3">
      <c r="A3" t="s">
        <v>9</v>
      </c>
      <c r="B3">
        <v>2024</v>
      </c>
      <c r="C3">
        <v>698812</v>
      </c>
      <c r="D3">
        <v>479564</v>
      </c>
      <c r="E3">
        <v>4339295</v>
      </c>
      <c r="F3">
        <v>1309539</v>
      </c>
      <c r="G3">
        <v>3715659</v>
      </c>
      <c r="H3" s="1">
        <f t="shared" ref="H3" si="0">D3/C3</f>
        <v>0.68625610321517094</v>
      </c>
      <c r="I3">
        <f t="shared" ref="I3" si="1">C3-D3</f>
        <v>219248</v>
      </c>
      <c r="J3" s="2">
        <f>((C3-D3))/G3</f>
        <v>5.9006491176935238E-2</v>
      </c>
      <c r="K3" s="2">
        <f>D3/F3</f>
        <v>0.36620826107508064</v>
      </c>
    </row>
    <row r="4" spans="1:11" x14ac:dyDescent="0.3">
      <c r="A4" t="s">
        <v>9</v>
      </c>
      <c r="B4">
        <v>2025</v>
      </c>
      <c r="C4">
        <v>1081220</v>
      </c>
      <c r="D4">
        <v>747046</v>
      </c>
      <c r="E4">
        <v>5654395</v>
      </c>
      <c r="F4">
        <v>1662054</v>
      </c>
      <c r="G4">
        <v>4996845</v>
      </c>
      <c r="H4" s="1">
        <f>D4/C4</f>
        <v>0.6909287656536135</v>
      </c>
      <c r="I4">
        <f>C4-D4</f>
        <v>334174</v>
      </c>
      <c r="J4" s="2">
        <f>((C4-D4))/G4</f>
        <v>6.6876999386612956E-2</v>
      </c>
      <c r="K4" s="2">
        <f>D4/F4</f>
        <v>0.44947155748248852</v>
      </c>
    </row>
    <row r="5" spans="1:11" x14ac:dyDescent="0.3">
      <c r="A5" t="s">
        <v>10</v>
      </c>
      <c r="B5">
        <v>2023</v>
      </c>
      <c r="C5">
        <v>1105700</v>
      </c>
      <c r="D5">
        <v>-615686</v>
      </c>
      <c r="E5">
        <v>17371200</v>
      </c>
      <c r="F5">
        <v>8499826</v>
      </c>
      <c r="H5" s="1">
        <f t="shared" ref="H5:H6" si="2">D5/C5</f>
        <v>-0.55682915799945731</v>
      </c>
      <c r="I5">
        <f t="shared" ref="I5" si="3">C5-D5</f>
        <v>1721386</v>
      </c>
      <c r="J5" s="2"/>
      <c r="K5" s="2">
        <f t="shared" ref="K5:K6" si="4">D5/F5</f>
        <v>-7.2435129848540433E-2</v>
      </c>
    </row>
    <row r="6" spans="1:11" x14ac:dyDescent="0.3">
      <c r="A6" t="s">
        <v>10</v>
      </c>
      <c r="B6">
        <v>2024</v>
      </c>
      <c r="C6">
        <v>1921052</v>
      </c>
      <c r="D6">
        <v>63449</v>
      </c>
      <c r="E6">
        <v>21240962</v>
      </c>
      <c r="F6">
        <v>9949274</v>
      </c>
      <c r="G6">
        <v>19306081</v>
      </c>
      <c r="H6" s="1">
        <f t="shared" si="2"/>
        <v>3.3028257433947647E-2</v>
      </c>
      <c r="I6">
        <f>C6-D6</f>
        <v>1857603</v>
      </c>
      <c r="J6" s="2">
        <f t="shared" ref="J6" si="5">((C6-D6))/G6</f>
        <v>9.6218543784209756E-2</v>
      </c>
      <c r="K6" s="2">
        <f t="shared" si="4"/>
        <v>6.3772492344667557E-3</v>
      </c>
    </row>
    <row r="7" spans="1:11" x14ac:dyDescent="0.3">
      <c r="A7" t="s">
        <v>10</v>
      </c>
      <c r="B7">
        <v>2025</v>
      </c>
      <c r="C7">
        <v>2395052</v>
      </c>
      <c r="D7">
        <v>-358387</v>
      </c>
      <c r="E7">
        <v>26109817</v>
      </c>
      <c r="F7">
        <v>11466784</v>
      </c>
      <c r="G7">
        <v>2367589</v>
      </c>
      <c r="H7" s="1">
        <f>D7/C7</f>
        <v>-0.14963641707987968</v>
      </c>
      <c r="I7">
        <f>C7-D7</f>
        <v>2753439</v>
      </c>
      <c r="J7" s="2">
        <f>((C7-D7))/G7</f>
        <v>1.1629716982128233</v>
      </c>
      <c r="K7" s="2">
        <f>D7/F7</f>
        <v>-3.125436042049802E-2</v>
      </c>
    </row>
    <row r="8" spans="1:11" x14ac:dyDescent="0.3">
      <c r="A8" t="s">
        <v>11</v>
      </c>
      <c r="B8">
        <v>2024</v>
      </c>
      <c r="C8">
        <v>121119</v>
      </c>
      <c r="D8">
        <v>-182027</v>
      </c>
      <c r="E8">
        <v>5178914</v>
      </c>
      <c r="F8">
        <v>2069012</v>
      </c>
      <c r="H8" s="1">
        <f>D8/C8</f>
        <v>-1.5028773355130078</v>
      </c>
      <c r="I8">
        <f>C8-D8</f>
        <v>303146</v>
      </c>
      <c r="J8" s="2"/>
      <c r="K8" s="2">
        <f>D8/F8</f>
        <v>-8.7977740100105756E-2</v>
      </c>
    </row>
    <row r="9" spans="1:11" x14ac:dyDescent="0.3">
      <c r="A9" t="s">
        <v>11</v>
      </c>
      <c r="B9">
        <v>2025</v>
      </c>
      <c r="C9">
        <v>299052</v>
      </c>
      <c r="D9">
        <v>88842</v>
      </c>
      <c r="E9">
        <v>5215835</v>
      </c>
      <c r="F9">
        <v>2194756</v>
      </c>
      <c r="G9">
        <v>2131884</v>
      </c>
      <c r="H9" s="1">
        <f>D9/C9</f>
        <v>0.29707876890975482</v>
      </c>
      <c r="I9">
        <f>C9-D9</f>
        <v>210210</v>
      </c>
      <c r="J9" s="2">
        <f t="shared" ref="J9" si="6">((C9-D9))/G9</f>
        <v>9.8602925862758012E-2</v>
      </c>
      <c r="K9" s="2">
        <f>D9/F9</f>
        <v>4.0479215001576488E-2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Silva</dc:creator>
  <cp:lastModifiedBy>Ailton Silva</cp:lastModifiedBy>
  <dcterms:created xsi:type="dcterms:W3CDTF">2015-06-05T18:17:20Z</dcterms:created>
  <dcterms:modified xsi:type="dcterms:W3CDTF">2026-10-08T03:06:24Z</dcterms:modified>
</cp:coreProperties>
</file>