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ff4eac851b47afe/Desktop/DF'S e Finance/"/>
    </mc:Choice>
  </mc:AlternateContent>
  <xr:revisionPtr revIDLastSave="276" documentId="11_F25DC773A252ABDACC1048FA619F61F45BDE58EF" xr6:coauthVersionLast="47" xr6:coauthVersionMax="47" xr10:uidLastSave="{245E958C-93A9-40E7-9030-33A71123D447}"/>
  <bookViews>
    <workbookView xWindow="28680" yWindow="-120" windowWidth="29040" windowHeight="15720" activeTab="3" xr2:uid="{00000000-000D-0000-FFFF-FFFF00000000}"/>
  </bookViews>
  <sheets>
    <sheet name="PREMISSAS" sheetId="1" r:id="rId1"/>
    <sheet name="MULTIPLOS" sheetId="2" r:id="rId2"/>
    <sheet name="DCF" sheetId="3" r:id="rId3"/>
    <sheet name="SENSIBILIDADE" sheetId="4" r:id="rId4"/>
  </sheets>
  <definedNames>
    <definedName name="g">PREMISSAS!$B$4</definedName>
    <definedName name="IR">PREMISSAS!$B$5</definedName>
    <definedName name="Multiplo">PREMISSAS!$B$2</definedName>
    <definedName name="WACC">PREMISSAS!$B$3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E4" i="4"/>
  <c r="B4" i="4"/>
  <c r="B5" i="3"/>
  <c r="B9" i="3"/>
  <c r="B7" i="3"/>
  <c r="C3" i="4"/>
  <c r="C4" i="4" s="1"/>
  <c r="D3" i="4"/>
  <c r="E3" i="4"/>
  <c r="B3" i="4"/>
  <c r="A4" i="4"/>
  <c r="C1" i="4"/>
  <c r="B8" i="3"/>
  <c r="B4" i="3"/>
  <c r="B3" i="3"/>
  <c r="B2" i="3"/>
  <c r="B7" i="2"/>
  <c r="B2" i="2"/>
  <c r="B3" i="2" s="1"/>
  <c r="B5" i="2" s="1"/>
  <c r="B1" i="2"/>
</calcChain>
</file>

<file path=xl/sharedStrings.xml><?xml version="1.0" encoding="utf-8"?>
<sst xmlns="http://schemas.openxmlformats.org/spreadsheetml/2006/main" count="45" uniqueCount="37">
  <si>
    <t>Premissa</t>
  </si>
  <si>
    <t>Valor</t>
  </si>
  <si>
    <t>OBS</t>
  </si>
  <si>
    <t>Múltiplo EV/EBITDA</t>
  </si>
  <si>
    <t>Mediana do Setor para Fast Food</t>
  </si>
  <si>
    <t>Estimativa Conservadora</t>
  </si>
  <si>
    <t>Alíquota de IR</t>
  </si>
  <si>
    <t>Guidance da Empresa 2026</t>
  </si>
  <si>
    <t>Próximo à inflação</t>
  </si>
  <si>
    <t>WACC (Custo de Capital)</t>
  </si>
  <si>
    <t>Crescimento na Perpetuidade (g)</t>
  </si>
  <si>
    <t>EBITDA(FY2025)</t>
  </si>
  <si>
    <t>Enterprise Value (EV)</t>
  </si>
  <si>
    <t>(-) Dívida Líquida</t>
  </si>
  <si>
    <t>EBITDA (2025)</t>
  </si>
  <si>
    <t>US$ 14 BI</t>
  </si>
  <si>
    <t>Equity Value</t>
  </si>
  <si>
    <t>Número de Ações</t>
  </si>
  <si>
    <t>Valor por Ação (Múltiplos)</t>
  </si>
  <si>
    <t>712 milhões</t>
  </si>
  <si>
    <t>12x</t>
  </si>
  <si>
    <t>US$ 54 Bilhões</t>
  </si>
  <si>
    <t>US$ 133 Bilhões</t>
  </si>
  <si>
    <t>US$ 187,4 Bilhões</t>
  </si>
  <si>
    <t>US$ 14,6 Bilhões</t>
  </si>
  <si>
    <t>unitário</t>
  </si>
  <si>
    <t>FCF</t>
  </si>
  <si>
    <t>US$ 7,19 Bilhões</t>
  </si>
  <si>
    <t>WACC</t>
  </si>
  <si>
    <t>Crescimento (g)</t>
  </si>
  <si>
    <t>Valor Terminal (VT)</t>
  </si>
  <si>
    <t>US$ 163,7 Bilhões</t>
  </si>
  <si>
    <t>Valor da Ação (DCF)</t>
  </si>
  <si>
    <t>US$ 154</t>
  </si>
  <si>
    <t>US$ 109 Bilhões</t>
  </si>
  <si>
    <t>g</t>
  </si>
  <si>
    <t>Valor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</si>
</sst>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i/>
      <sz val="14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2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9" fontId="5" fillId="0" borderId="0" xfId="2" applyFont="1" applyAlignment="1">
      <alignment horizontal="center" vertical="center"/>
    </xf>
    <xf numFmtId="165" fontId="5" fillId="2" borderId="0" xfId="2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activeCell="E11" sqref="E11"/>
    </sheetView>
  </sheetViews>
  <sheetFormatPr defaultRowHeight="14.4" x14ac:dyDescent="0.3"/>
  <cols>
    <col min="1" max="1" width="48.6640625" customWidth="1"/>
    <col min="2" max="2" width="32.88671875" customWidth="1"/>
    <col min="3" max="3" width="53.6640625" customWidth="1"/>
  </cols>
  <sheetData>
    <row r="1" spans="1:3" s="1" customFormat="1" ht="39.6" customHeight="1" x14ac:dyDescent="0.3">
      <c r="A1" s="4" t="s">
        <v>0</v>
      </c>
      <c r="B1" s="4" t="s">
        <v>1</v>
      </c>
      <c r="C1" s="4" t="s">
        <v>2</v>
      </c>
    </row>
    <row r="2" spans="1:3" ht="39.6" customHeight="1" x14ac:dyDescent="0.3">
      <c r="A2" s="2" t="s">
        <v>3</v>
      </c>
      <c r="B2" s="2">
        <v>12.8</v>
      </c>
      <c r="C2" s="8" t="s">
        <v>4</v>
      </c>
    </row>
    <row r="3" spans="1:3" ht="39.6" customHeight="1" x14ac:dyDescent="0.3">
      <c r="A3" s="5" t="s">
        <v>9</v>
      </c>
      <c r="B3" s="6">
        <v>7.0000000000000007E-2</v>
      </c>
      <c r="C3" s="9" t="s">
        <v>5</v>
      </c>
    </row>
    <row r="4" spans="1:3" ht="39.6" customHeight="1" x14ac:dyDescent="0.3">
      <c r="A4" s="2" t="s">
        <v>10</v>
      </c>
      <c r="B4" s="3">
        <v>2.5000000000000001E-2</v>
      </c>
      <c r="C4" s="8" t="s">
        <v>8</v>
      </c>
    </row>
    <row r="5" spans="1:3" ht="39.6" customHeight="1" x14ac:dyDescent="0.3">
      <c r="A5" s="5" t="s">
        <v>6</v>
      </c>
      <c r="B5" s="7">
        <v>0.21</v>
      </c>
      <c r="C5" s="9" t="s">
        <v>7</v>
      </c>
    </row>
    <row r="6" spans="1:3" ht="31.2" customHeight="1" x14ac:dyDescent="0.3">
      <c r="A6" s="2" t="s">
        <v>14</v>
      </c>
      <c r="B6" s="10">
        <v>14640</v>
      </c>
      <c r="C6" s="8" t="s">
        <v>15</v>
      </c>
    </row>
    <row r="7" spans="1:3" ht="22.8" customHeight="1" x14ac:dyDescent="0.3"/>
    <row r="8" spans="1:3" ht="22.8" customHeight="1" x14ac:dyDescent="0.3"/>
    <row r="9" spans="1:3" ht="22.8" customHeight="1" x14ac:dyDescent="0.3"/>
    <row r="10" spans="1:3" ht="22.8" customHeight="1" x14ac:dyDescent="0.3"/>
    <row r="11" spans="1:3" ht="22.8" customHeight="1" x14ac:dyDescent="0.3"/>
    <row r="12" spans="1:3" ht="22.8" customHeight="1" x14ac:dyDescent="0.3"/>
    <row r="13" spans="1:3" ht="22.8" customHeight="1" x14ac:dyDescent="0.3"/>
    <row r="14" spans="1:3" ht="22.8" customHeight="1" x14ac:dyDescent="0.3"/>
    <row r="15" spans="1:3" ht="22.8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15FA-7DAD-4920-ACD0-7818AA3A47E7}">
  <dimension ref="A1:C7"/>
  <sheetViews>
    <sheetView showGridLines="0" workbookViewId="0">
      <selection activeCell="L16" sqref="L15:L16"/>
    </sheetView>
  </sheetViews>
  <sheetFormatPr defaultRowHeight="14.4" x14ac:dyDescent="0.3"/>
  <cols>
    <col min="1" max="1" width="47" customWidth="1"/>
    <col min="2" max="2" width="29.44140625" customWidth="1"/>
    <col min="3" max="3" width="27.6640625" customWidth="1"/>
  </cols>
  <sheetData>
    <row r="1" spans="1:3" ht="54" customHeight="1" x14ac:dyDescent="0.3">
      <c r="A1" s="11" t="s">
        <v>11</v>
      </c>
      <c r="B1" s="12">
        <f>PREMISSAS!B6</f>
        <v>14640</v>
      </c>
      <c r="C1" s="11" t="s">
        <v>24</v>
      </c>
    </row>
    <row r="2" spans="1:3" ht="54" customHeight="1" x14ac:dyDescent="0.3">
      <c r="A2" s="13" t="s">
        <v>3</v>
      </c>
      <c r="B2" s="13">
        <f>Multiplo</f>
        <v>12.8</v>
      </c>
      <c r="C2" s="13" t="s">
        <v>20</v>
      </c>
    </row>
    <row r="3" spans="1:3" ht="54" customHeight="1" x14ac:dyDescent="0.3">
      <c r="A3" s="11" t="s">
        <v>12</v>
      </c>
      <c r="B3" s="12">
        <f>B1*B2</f>
        <v>187392</v>
      </c>
      <c r="C3" s="11" t="s">
        <v>23</v>
      </c>
    </row>
    <row r="4" spans="1:3" ht="54" customHeight="1" x14ac:dyDescent="0.3">
      <c r="A4" s="13" t="s">
        <v>13</v>
      </c>
      <c r="B4" s="14">
        <v>54040</v>
      </c>
      <c r="C4" s="13" t="s">
        <v>21</v>
      </c>
    </row>
    <row r="5" spans="1:3" ht="54" customHeight="1" x14ac:dyDescent="0.3">
      <c r="A5" s="11" t="s">
        <v>16</v>
      </c>
      <c r="B5" s="12">
        <f>B3-B4</f>
        <v>133352</v>
      </c>
      <c r="C5" s="11" t="s">
        <v>22</v>
      </c>
    </row>
    <row r="6" spans="1:3" ht="54" customHeight="1" x14ac:dyDescent="0.3">
      <c r="A6" s="13" t="s">
        <v>17</v>
      </c>
      <c r="B6" s="13">
        <v>712</v>
      </c>
      <c r="C6" s="13" t="s">
        <v>19</v>
      </c>
    </row>
    <row r="7" spans="1:3" ht="54" customHeight="1" x14ac:dyDescent="0.3">
      <c r="A7" s="15" t="s">
        <v>18</v>
      </c>
      <c r="B7" s="16">
        <f>B5/B6</f>
        <v>187.29213483146069</v>
      </c>
      <c r="C7" s="15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ACEB-8B6C-4AAD-9524-834238E9F530}">
  <dimension ref="A1:C9"/>
  <sheetViews>
    <sheetView showGridLines="0" workbookViewId="0">
      <selection activeCell="G4" sqref="G4"/>
    </sheetView>
  </sheetViews>
  <sheetFormatPr defaultRowHeight="14.4" x14ac:dyDescent="0.3"/>
  <cols>
    <col min="1" max="1" width="41.88671875" customWidth="1"/>
    <col min="2" max="2" width="39.33203125" customWidth="1"/>
    <col min="3" max="3" width="75.33203125" customWidth="1"/>
  </cols>
  <sheetData>
    <row r="1" spans="1:3" ht="52.8" customHeight="1" x14ac:dyDescent="0.3">
      <c r="A1" s="11" t="s">
        <v>26</v>
      </c>
      <c r="B1" s="12">
        <v>7190</v>
      </c>
      <c r="C1" s="11" t="s">
        <v>27</v>
      </c>
    </row>
    <row r="2" spans="1:3" ht="52.8" customHeight="1" x14ac:dyDescent="0.3">
      <c r="A2" s="13" t="s">
        <v>28</v>
      </c>
      <c r="B2" s="17">
        <f>WACC</f>
        <v>7.0000000000000007E-2</v>
      </c>
      <c r="C2" s="13"/>
    </row>
    <row r="3" spans="1:3" ht="52.8" customHeight="1" x14ac:dyDescent="0.3">
      <c r="A3" s="11" t="s">
        <v>29</v>
      </c>
      <c r="B3" s="18">
        <f>g</f>
        <v>2.5000000000000001E-2</v>
      </c>
      <c r="C3" s="11"/>
    </row>
    <row r="4" spans="1:3" ht="52.8" customHeight="1" x14ac:dyDescent="0.3">
      <c r="A4" s="13" t="s">
        <v>30</v>
      </c>
      <c r="B4" s="14">
        <f>(B1*(1+B3)) / (B2-B3)</f>
        <v>163772.22222222219</v>
      </c>
      <c r="C4" s="19" t="s">
        <v>31</v>
      </c>
    </row>
    <row r="5" spans="1:3" ht="52.8" customHeight="1" x14ac:dyDescent="0.3">
      <c r="A5" s="11" t="s">
        <v>12</v>
      </c>
      <c r="B5" s="12">
        <f>MULTIPLOS!B5</f>
        <v>133352</v>
      </c>
      <c r="C5" s="11"/>
    </row>
    <row r="6" spans="1:3" ht="52.8" customHeight="1" x14ac:dyDescent="0.3">
      <c r="A6" s="13" t="s">
        <v>13</v>
      </c>
      <c r="B6" s="14">
        <v>54040</v>
      </c>
      <c r="C6" s="13" t="s">
        <v>21</v>
      </c>
    </row>
    <row r="7" spans="1:3" ht="52.8" customHeight="1" x14ac:dyDescent="0.3">
      <c r="A7" s="11" t="s">
        <v>16</v>
      </c>
      <c r="B7" s="12">
        <f>B4-B6</f>
        <v>109732.22222222219</v>
      </c>
      <c r="C7" s="11" t="s">
        <v>34</v>
      </c>
    </row>
    <row r="8" spans="1:3" ht="52.8" customHeight="1" x14ac:dyDescent="0.35">
      <c r="A8" s="13" t="s">
        <v>17</v>
      </c>
      <c r="B8" s="13">
        <f>MULTIPLOS!B6</f>
        <v>712</v>
      </c>
      <c r="C8" s="20" t="s">
        <v>19</v>
      </c>
    </row>
    <row r="9" spans="1:3" ht="52.8" customHeight="1" x14ac:dyDescent="0.3">
      <c r="A9" s="21" t="s">
        <v>32</v>
      </c>
      <c r="B9" s="22">
        <f>B7/B8</f>
        <v>154.1182896379525</v>
      </c>
      <c r="C9" s="21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A690-F4D5-4855-9DB7-F10B0F907096}">
  <dimension ref="A1:E4"/>
  <sheetViews>
    <sheetView showGridLines="0" tabSelected="1" workbookViewId="0">
      <selection activeCell="E10" sqref="E10"/>
    </sheetView>
  </sheetViews>
  <sheetFormatPr defaultRowHeight="14.4" x14ac:dyDescent="0.3"/>
  <cols>
    <col min="1" max="1" width="32.88671875" customWidth="1"/>
    <col min="2" max="5" width="46.109375" customWidth="1"/>
  </cols>
  <sheetData>
    <row r="1" spans="1:5" ht="88.8" customHeight="1" x14ac:dyDescent="0.3">
      <c r="A1" s="27" t="s">
        <v>35</v>
      </c>
      <c r="B1" s="23">
        <v>0.02</v>
      </c>
      <c r="C1" s="24">
        <f>g</f>
        <v>2.5000000000000001E-2</v>
      </c>
      <c r="D1" s="23">
        <v>0.03</v>
      </c>
      <c r="E1" s="23">
        <v>0.04</v>
      </c>
    </row>
    <row r="2" spans="1:5" ht="88.8" customHeight="1" x14ac:dyDescent="0.3">
      <c r="A2" s="27" t="s">
        <v>28</v>
      </c>
      <c r="B2" s="23">
        <v>0.06</v>
      </c>
      <c r="C2" s="23">
        <v>7.0000000000000007E-2</v>
      </c>
      <c r="D2" s="23">
        <v>0.08</v>
      </c>
      <c r="E2" s="23">
        <v>0.09</v>
      </c>
    </row>
    <row r="3" spans="1:5" ht="88.8" customHeight="1" x14ac:dyDescent="0.3">
      <c r="A3" s="27" t="s">
        <v>36</v>
      </c>
      <c r="B3" s="25">
        <f>(DCF!$B$1*(1+SENSIBILIDADE!B1))/(SENSIBILIDADE!B2-SENSIBILIDADE!B1)</f>
        <v>183345.00000000003</v>
      </c>
      <c r="C3" s="25">
        <f>(DCF!$B$1*(1+SENSIBILIDADE!C1))/(SENSIBILIDADE!C2-SENSIBILIDADE!C1)</f>
        <v>163772.22222222219</v>
      </c>
      <c r="D3" s="25">
        <f>(DCF!$B$1*(1+SENSIBILIDADE!D1))/(SENSIBILIDADE!D2-SENSIBILIDADE!D1)</f>
        <v>148114</v>
      </c>
      <c r="E3" s="25">
        <f>(DCF!$B$1*(1+SENSIBILIDADE!E1))/(SENSIBILIDADE!E2-SENSIBILIDADE!E1)</f>
        <v>149552.00000000003</v>
      </c>
    </row>
    <row r="4" spans="1:5" ht="88.8" customHeight="1" x14ac:dyDescent="0.3">
      <c r="A4" s="27" t="str">
        <f>DCF!A9</f>
        <v>Valor da Ação (DCF)</v>
      </c>
      <c r="B4" s="26">
        <f>(B3-DCF!$B$6)/DCF!$B$8</f>
        <v>181.60814606741576</v>
      </c>
      <c r="C4" s="26">
        <f>(C3-DCF!$B$6)/DCF!$B$8</f>
        <v>154.1182896379525</v>
      </c>
      <c r="D4" s="26">
        <f>(D3-DCF!$B$6)/DCF!$B$8</f>
        <v>132.12640449438203</v>
      </c>
      <c r="E4" s="26">
        <f>(E3-DCF!$B$6)/DCF!$B$8</f>
        <v>134.14606741573039</v>
      </c>
    </row>
  </sheetData>
  <conditionalFormatting sqref="B4:E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{9257F11A-0E25-4AC9-841C-D3529E1F4A08}</x14:id>
        </ext>
      </extLst>
    </cfRule>
  </conditionalFormatting>
  <conditionalFormatting sqref="B3:E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{45A09BCE-CE53-4264-BD39-01CF497147B6}</x14:id>
        </ext>
      </extLst>
    </cfRule>
  </conditionalFormatting>
  <conditionalFormatting sqref="B2:E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{FDB2DA27-5380-4FC6-B255-C9606FF6D97A}</x14:id>
        </ext>
      </extLst>
    </cfRule>
  </conditionalFormatting>
  <conditionalFormatting sqref="B1:E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{1BB5B7AD-3BAB-4F3A-8F1F-89E39E0B4B44}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7F11A-0E25-4AC9-841C-D3529E1F4A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B4:E4</xm:sqref>
        </x14:conditionalFormatting>
        <x14:conditionalFormatting xmlns:xm="http://schemas.microsoft.com/office/excel/2006/main">
          <x14:cfRule type="dataBar" id="{45A09BCE-CE53-4264-BD39-01CF497147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B3:E3</xm:sqref>
        </x14:conditionalFormatting>
        <x14:conditionalFormatting xmlns:xm="http://schemas.microsoft.com/office/excel/2006/main">
          <x14:cfRule type="dataBar" id="{FDB2DA27-5380-4FC6-B255-C9606FF6D9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B2:E2</xm:sqref>
        </x14:conditionalFormatting>
        <x14:conditionalFormatting xmlns:xm="http://schemas.microsoft.com/office/excel/2006/main">
          <x14:cfRule type="dataBar" id="{1BB5B7AD-3BAB-4F3A-8F1F-89E39E0B4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B1:E1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PREMISSAS</vt:lpstr>
      <vt:lpstr>MULTIPLOS</vt:lpstr>
      <vt:lpstr>DCF</vt:lpstr>
      <vt:lpstr>SENSIBILIDADE</vt:lpstr>
      <vt:lpstr>g</vt:lpstr>
      <vt:lpstr>IR</vt:lpstr>
      <vt:lpstr>Multiplo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 Silva</dc:creator>
  <cp:lastModifiedBy>Ailton Silva</cp:lastModifiedBy>
  <dcterms:created xsi:type="dcterms:W3CDTF">2015-06-05T18:17:20Z</dcterms:created>
  <dcterms:modified xsi:type="dcterms:W3CDTF">2026-09-26T16:38:05Z</dcterms:modified>
</cp:coreProperties>
</file>